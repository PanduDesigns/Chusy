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panduro\Desktop\Ramon\Plantillas Excel\"/>
    </mc:Choice>
  </mc:AlternateContent>
  <xr:revisionPtr revIDLastSave="0" documentId="13_ncr:1_{7E88E0FD-89D6-4DD4-98BB-368F29EACABA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Cronograma_Martech" sheetId="1" r:id="rId1"/>
  </sheets>
  <definedNames>
    <definedName name="_xlnm.Print_Area" localSheetId="0">Cronograma_Martech!$B$1:$AS$29</definedName>
    <definedName name="_xlnm.Print_Titles" localSheetId="0">Cronograma_Martech!$11:$12</definedName>
  </definedNames>
  <calcPr calcId="191029" fullCalcOnLoad="1"/>
</workbook>
</file>

<file path=xl/calcChain.xml><?xml version="1.0" encoding="utf-8"?>
<calcChain xmlns="http://schemas.openxmlformats.org/spreadsheetml/2006/main">
  <c r="G7" i="1" l="1"/>
  <c r="H7" i="1"/>
  <c r="I7" i="1"/>
  <c r="J7" i="1"/>
  <c r="K7" i="1"/>
  <c r="L7" i="1"/>
  <c r="M7" i="1"/>
  <c r="N7" i="1"/>
  <c r="O7" i="1"/>
  <c r="P7" i="1"/>
  <c r="Q7" i="1"/>
  <c r="R7" i="1"/>
  <c r="S7" i="1"/>
  <c r="T7" i="1"/>
  <c r="U7" i="1"/>
  <c r="V7" i="1"/>
  <c r="W7" i="1"/>
  <c r="X7" i="1"/>
  <c r="Y7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N7" i="1"/>
  <c r="AO7" i="1"/>
  <c r="AP7" i="1"/>
  <c r="AQ7" i="1"/>
  <c r="AR7" i="1"/>
  <c r="AS7" i="1"/>
  <c r="F7" i="1"/>
  <c r="F6" i="1" l="1"/>
  <c r="F11" i="1" s="1"/>
  <c r="F12" i="1" l="1"/>
  <c r="G6" i="1"/>
  <c r="G12" i="1" s="1"/>
  <c r="G11" i="1" l="1"/>
  <c r="H6" i="1"/>
  <c r="H12" i="1" s="1"/>
  <c r="H11" i="1" l="1"/>
  <c r="I6" i="1"/>
  <c r="I12" i="1" s="1"/>
  <c r="I11" i="1" l="1"/>
  <c r="J6" i="1"/>
  <c r="J12" i="1" s="1"/>
  <c r="J11" i="1" l="1"/>
  <c r="K6" i="1"/>
  <c r="K12" i="1" s="1"/>
  <c r="K11" i="1" l="1"/>
  <c r="L6" i="1"/>
  <c r="L12" i="1" s="1"/>
  <c r="L11" i="1" l="1"/>
  <c r="M6" i="1"/>
  <c r="M12" i="1" s="1"/>
  <c r="M11" i="1" l="1"/>
  <c r="N6" i="1"/>
  <c r="N12" i="1" s="1"/>
  <c r="N11" i="1" l="1"/>
  <c r="O6" i="1"/>
  <c r="O12" i="1" s="1"/>
  <c r="O11" i="1" l="1"/>
  <c r="P6" i="1"/>
  <c r="P12" i="1" s="1"/>
  <c r="P11" i="1" l="1"/>
  <c r="Q6" i="1"/>
  <c r="Q12" i="1" s="1"/>
  <c r="Q11" i="1" l="1"/>
  <c r="R6" i="1"/>
  <c r="R12" i="1" s="1"/>
  <c r="R11" i="1" l="1"/>
  <c r="S6" i="1"/>
  <c r="S12" i="1" s="1"/>
  <c r="S11" i="1" l="1"/>
  <c r="T6" i="1"/>
  <c r="T12" i="1" s="1"/>
  <c r="T11" i="1" l="1"/>
  <c r="U6" i="1"/>
  <c r="U12" i="1" s="1"/>
  <c r="U11" i="1" l="1"/>
  <c r="V6" i="1"/>
  <c r="V12" i="1" s="1"/>
  <c r="V11" i="1" l="1"/>
  <c r="W6" i="1"/>
  <c r="W12" i="1" s="1"/>
  <c r="W11" i="1" l="1"/>
  <c r="X6" i="1"/>
  <c r="X12" i="1" s="1"/>
  <c r="X11" i="1" l="1"/>
  <c r="Y6" i="1"/>
  <c r="Y12" i="1" s="1"/>
  <c r="Y11" i="1" l="1"/>
  <c r="Z6" i="1"/>
  <c r="Z12" i="1" s="1"/>
  <c r="Z11" i="1" l="1"/>
  <c r="AA6" i="1"/>
  <c r="AA12" i="1" s="1"/>
  <c r="AA11" i="1" l="1"/>
  <c r="AB6" i="1"/>
  <c r="AB12" i="1" s="1"/>
  <c r="AB11" i="1" l="1"/>
  <c r="AC6" i="1"/>
  <c r="AC12" i="1" s="1"/>
  <c r="AC11" i="1" l="1"/>
  <c r="AD6" i="1"/>
  <c r="AD12" i="1" s="1"/>
  <c r="AD11" i="1" l="1"/>
  <c r="AE6" i="1"/>
  <c r="AE12" i="1" s="1"/>
  <c r="AE11" i="1" l="1"/>
  <c r="AF6" i="1"/>
  <c r="AF12" i="1" s="1"/>
  <c r="AF11" i="1" l="1"/>
  <c r="AG6" i="1"/>
  <c r="AG12" i="1" s="1"/>
  <c r="AG11" i="1" l="1"/>
  <c r="AH6" i="1"/>
  <c r="AH12" i="1" s="1"/>
  <c r="AH11" i="1" l="1"/>
  <c r="AI6" i="1"/>
  <c r="AI12" i="1" s="1"/>
  <c r="AI11" i="1" l="1"/>
  <c r="AJ6" i="1"/>
  <c r="AJ12" i="1" s="1"/>
  <c r="AJ11" i="1" l="1"/>
  <c r="AK6" i="1"/>
  <c r="AK12" i="1" s="1"/>
  <c r="AK11" i="1" l="1"/>
  <c r="AL6" i="1"/>
  <c r="AL12" i="1" s="1"/>
  <c r="AL11" i="1" l="1"/>
  <c r="AM6" i="1"/>
  <c r="AM12" i="1" s="1"/>
  <c r="AM11" i="1" l="1"/>
  <c r="AN6" i="1"/>
  <c r="AN12" i="1" s="1"/>
  <c r="AN11" i="1" l="1"/>
  <c r="AO6" i="1"/>
  <c r="AO12" i="1" s="1"/>
  <c r="AO11" i="1" l="1"/>
  <c r="AP6" i="1"/>
  <c r="AP12" i="1" s="1"/>
  <c r="AP11" i="1" l="1"/>
  <c r="AQ6" i="1"/>
  <c r="AQ12" i="1" s="1"/>
  <c r="AQ11" i="1" l="1"/>
  <c r="AR6" i="1"/>
  <c r="AR12" i="1" s="1"/>
  <c r="AR11" i="1" l="1"/>
  <c r="AS6" i="1"/>
  <c r="AS12" i="1" s="1"/>
  <c r="AS11" i="1" l="1"/>
</calcChain>
</file>

<file path=xl/sharedStrings.xml><?xml version="1.0" encoding="utf-8"?>
<sst xmlns="http://schemas.openxmlformats.org/spreadsheetml/2006/main" count="34" uniqueCount="30">
  <si>
    <t>AÑO 2026</t>
  </si>
  <si>
    <t>TAREA</t>
  </si>
  <si>
    <t>DURACIÓN
Nº
SEMANAS</t>
  </si>
  <si>
    <t>INICIO
(Sem)</t>
  </si>
  <si>
    <t>TIPO / COLOR</t>
  </si>
  <si>
    <t>1-Verde</t>
  </si>
  <si>
    <t>RECEPCIÓN PEDIDO Y FACTURACION 1º HITO</t>
  </si>
  <si>
    <t>RECEPCION COBRO 1º HITO Y COMIENZO PROCESO</t>
  </si>
  <si>
    <t>VALIDACION DE PLANOS (FDR)</t>
  </si>
  <si>
    <t>INGENIERIA - DISEÑO Y DESPIECE</t>
  </si>
  <si>
    <t>2-AzulClaro</t>
  </si>
  <si>
    <t>FABRICACION Y ACOPIO MATERIALES</t>
  </si>
  <si>
    <t>3-Naranja</t>
  </si>
  <si>
    <t>4-Rojo</t>
  </si>
  <si>
    <t>ENVIO CABINAS + BOX</t>
  </si>
  <si>
    <t>MONTAJE CABINAS Y BOX</t>
  </si>
  <si>
    <t>5-AzulOscuro</t>
  </si>
  <si>
    <t>PUESTA EN MARCHA CABINAS Y BOX</t>
  </si>
  <si>
    <t>6-Morado</t>
  </si>
  <si>
    <t>OBSERVACIONES</t>
  </si>
  <si>
    <t>OBRA FINALIZADA X CLIENTE</t>
  </si>
  <si>
    <t>CRONOGRAMA - REV. 00</t>
  </si>
  <si>
    <t>ADJUDICACION PROYECTO (mail Fecha)</t>
  </si>
  <si>
    <t>&lt;-Semana inicial</t>
  </si>
  <si>
    <r>
      <t xml:space="preserve">CLIENTE: </t>
    </r>
    <r>
      <rPr>
        <sz val="14"/>
        <color theme="1" tint="0.24994659260841701"/>
        <rFont val="Calibri Light"/>
        <family val="2"/>
      </rPr>
      <t>ACITURRI GETAFE</t>
    </r>
  </si>
  <si>
    <r>
      <t xml:space="preserve">PROYECTO: </t>
    </r>
    <r>
      <rPr>
        <sz val="14"/>
        <color theme="1" tint="0.24994659260841701"/>
        <rFont val="Calibri Light"/>
        <family val="2"/>
      </rPr>
      <t>SUMINISTRO Y MONTAJE CABINAS GETAFE</t>
    </r>
  </si>
  <si>
    <r>
      <t xml:space="preserve">PEDIDO CLIENTE Nº: </t>
    </r>
    <r>
      <rPr>
        <sz val="14"/>
        <color theme="1" tint="0.24994659260841701"/>
        <rFont val="Calibri Light"/>
        <family val="2"/>
      </rPr>
      <t>7000400410</t>
    </r>
  </si>
  <si>
    <r>
      <t xml:space="preserve">FECHA: </t>
    </r>
    <r>
      <rPr>
        <sz val="14"/>
        <color theme="1" tint="0.24994659260841701"/>
        <rFont val="Calibri Light"/>
        <family val="2"/>
      </rPr>
      <t>17/06/2026</t>
    </r>
  </si>
  <si>
    <t>OCULTAR ESTAS COLUMNAS
ANTES DE ENVIAR EL EXCEL</t>
  </si>
  <si>
    <t>Año Inicial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</si>
</sst>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9"/>
      <name val="Arial"/>
      <family val="2"/>
    </font>
    <font>
      <b/>
      <sz val="9"/>
      <color theme="1" tint="0.14999847407452621"/>
      <name val="Arial"/>
      <family val="2"/>
    </font>
    <font>
      <b/>
      <sz val="10"/>
      <color theme="1" tint="0.14999847407452621"/>
      <name val="Arial"/>
      <family val="2"/>
    </font>
    <font>
      <sz val="9"/>
      <name val="Calibri Light"/>
      <family val="2"/>
    </font>
    <font>
      <b/>
      <sz val="11"/>
      <color theme="1" tint="0.24994659260841701"/>
      <name val="Calibri Light"/>
      <family val="2"/>
    </font>
    <font>
      <b/>
      <sz val="13"/>
      <color theme="1" tint="0.24994659260841701"/>
      <name val="Cambria"/>
      <family val="2"/>
      <scheme val="major"/>
    </font>
    <font>
      <b/>
      <sz val="9"/>
      <color theme="1" tint="0.24994659260841701"/>
      <name val="Calibri Light"/>
      <family val="2"/>
    </font>
    <font>
      <b/>
      <sz val="9"/>
      <color theme="1" tint="0.249977111117893"/>
      <name val="Calibri Light"/>
      <family val="2"/>
    </font>
    <font>
      <sz val="11"/>
      <color theme="1" tint="0.249977111117893"/>
      <name val="Calibri Light"/>
      <family val="2"/>
    </font>
    <font>
      <sz val="9"/>
      <color theme="1" tint="0.249977111117893"/>
      <name val="Calibri Light"/>
      <family val="2"/>
    </font>
    <font>
      <b/>
      <sz val="14"/>
      <color theme="1" tint="0.249977111117893"/>
      <name val="Calibri Light"/>
      <family val="2"/>
    </font>
    <font>
      <b/>
      <sz val="9"/>
      <color theme="1" tint="0.249977111117893"/>
      <name val="Arial"/>
      <family val="2"/>
    </font>
    <font>
      <b/>
      <sz val="8"/>
      <color theme="1" tint="0.249977111117893"/>
      <name val="Arial"/>
      <family val="2"/>
    </font>
    <font>
      <b/>
      <sz val="9"/>
      <color rgb="FFC00000"/>
      <name val="Calibri Light"/>
      <family val="2"/>
    </font>
    <font>
      <b/>
      <sz val="14"/>
      <color theme="1" tint="0.24994659260841701"/>
      <name val="Calibri Light"/>
      <family val="2"/>
    </font>
    <font>
      <sz val="14"/>
      <color theme="1" tint="0.24994659260841701"/>
      <name val="Calibri Light"/>
      <family val="2"/>
    </font>
    <font>
      <sz val="9"/>
      <color theme="1" tint="0.24994659260841701"/>
      <name val="Calibri Light"/>
      <family val="2"/>
    </font>
    <font>
      <sz val="9"/>
      <color rgb="FFFF0000"/>
      <name val="Arial"/>
      <family val="2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E7E6E6"/>
        <bgColor rgb="FFE7E6E6"/>
      </patternFill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lightUp">
        <fgColor rgb="FFA6A6A6"/>
        <bgColor theme="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indexed="64"/>
      </left>
      <right style="thin">
        <color theme="0" tint="-0.34998626667073579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theme="0" tint="-0.34998626667073579"/>
      </right>
      <top/>
      <bottom style="thin">
        <color rgb="FF000000"/>
      </bottom>
      <diagonal/>
    </border>
    <border>
      <left style="thin">
        <color theme="0" tint="-0.34998626667073579"/>
      </left>
      <right/>
      <top/>
      <bottom style="thin">
        <color indexed="64"/>
      </bottom>
      <diagonal/>
    </border>
    <border>
      <left style="thin">
        <color rgb="FF000000"/>
      </left>
      <right style="thin">
        <color theme="0" tint="-0.34998626667073579"/>
      </right>
      <top style="thin">
        <color rgb="FF000000"/>
      </top>
      <bottom/>
      <diagonal/>
    </border>
    <border>
      <left style="medium">
        <color theme="0"/>
      </left>
      <right style="thin">
        <color theme="0" tint="-0.34998626667073579"/>
      </right>
      <top style="medium">
        <color theme="0"/>
      </top>
      <bottom style="medium">
        <color theme="0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6" fillId="0" borderId="0" applyFill="0" applyBorder="0" applyProtection="0">
      <alignment horizontal="left" wrapText="1"/>
    </xf>
  </cellStyleXfs>
  <cellXfs count="51">
    <xf numFmtId="0" fontId="0" fillId="0" borderId="0" xfId="0"/>
    <xf numFmtId="0" fontId="1" fillId="0" borderId="0" xfId="0" applyFont="1"/>
    <xf numFmtId="0" fontId="1" fillId="0" borderId="0" xfId="0" applyFont="1" applyBorder="1"/>
    <xf numFmtId="0" fontId="10" fillId="0" borderId="0" xfId="0" applyFont="1" applyBorder="1" applyAlignment="1">
      <alignment horizontal="center" vertical="center" wrapText="1"/>
    </xf>
    <xf numFmtId="0" fontId="13" fillId="2" borderId="6" xfId="0" applyFont="1" applyFill="1" applyBorder="1" applyAlignment="1">
      <alignment horizontal="center" vertical="center" wrapText="1"/>
    </xf>
    <xf numFmtId="0" fontId="13" fillId="2" borderId="3" xfId="0" applyFont="1" applyFill="1" applyBorder="1" applyAlignment="1">
      <alignment horizontal="center" vertical="center" wrapText="1"/>
    </xf>
    <xf numFmtId="0" fontId="13" fillId="3" borderId="3" xfId="0" applyFont="1" applyFill="1" applyBorder="1" applyAlignment="1">
      <alignment horizontal="center" vertical="center" wrapText="1"/>
    </xf>
    <xf numFmtId="0" fontId="10" fillId="4" borderId="0" xfId="0" applyFont="1" applyFill="1" applyBorder="1" applyAlignment="1">
      <alignment horizontal="center" vertical="center" wrapText="1"/>
    </xf>
    <xf numFmtId="0" fontId="0" fillId="0" borderId="0" xfId="0" applyBorder="1"/>
    <xf numFmtId="0" fontId="4" fillId="0" borderId="0" xfId="0" applyFont="1" applyBorder="1"/>
    <xf numFmtId="0" fontId="1" fillId="0" borderId="9" xfId="0" applyFont="1" applyBorder="1"/>
    <xf numFmtId="0" fontId="1" fillId="0" borderId="10" xfId="0" applyFont="1" applyBorder="1"/>
    <xf numFmtId="0" fontId="1" fillId="0" borderId="11" xfId="0" applyFont="1" applyBorder="1"/>
    <xf numFmtId="0" fontId="1" fillId="0" borderId="12" xfId="0" applyFont="1" applyBorder="1"/>
    <xf numFmtId="0" fontId="1" fillId="0" borderId="13" xfId="0" applyFont="1" applyBorder="1"/>
    <xf numFmtId="0" fontId="2" fillId="0" borderId="12" xfId="0" applyFont="1" applyBorder="1"/>
    <xf numFmtId="0" fontId="11" fillId="0" borderId="12" xfId="0" applyFont="1" applyBorder="1" applyAlignment="1">
      <alignment vertical="center"/>
    </xf>
    <xf numFmtId="0" fontId="13" fillId="2" borderId="17" xfId="0" applyFont="1" applyFill="1" applyBorder="1" applyAlignment="1">
      <alignment horizontal="center" vertical="center" wrapText="1"/>
    </xf>
    <xf numFmtId="0" fontId="7" fillId="0" borderId="12" xfId="1" applyFont="1" applyBorder="1" applyAlignment="1">
      <alignment horizontal="left" vertical="center" wrapText="1"/>
    </xf>
    <xf numFmtId="0" fontId="14" fillId="0" borderId="12" xfId="1" applyFont="1" applyBorder="1" applyAlignment="1">
      <alignment horizontal="left" vertical="center" wrapText="1"/>
    </xf>
    <xf numFmtId="0" fontId="1" fillId="0" borderId="19" xfId="0" applyFont="1" applyBorder="1"/>
    <xf numFmtId="0" fontId="1" fillId="0" borderId="20" xfId="0" applyFont="1" applyBorder="1"/>
    <xf numFmtId="0" fontId="1" fillId="0" borderId="21" xfId="0" applyFont="1" applyBorder="1"/>
    <xf numFmtId="0" fontId="12" fillId="0" borderId="0" xfId="0" applyFont="1" applyBorder="1" applyAlignment="1">
      <alignment vertical="center"/>
    </xf>
    <xf numFmtId="0" fontId="15" fillId="0" borderId="0" xfId="0" applyFont="1" applyAlignment="1">
      <alignment horizontal="left" vertical="center"/>
    </xf>
    <xf numFmtId="0" fontId="17" fillId="0" borderId="0" xfId="0" applyFont="1" applyAlignment="1">
      <alignment horizontal="left"/>
    </xf>
    <xf numFmtId="0" fontId="17" fillId="0" borderId="0" xfId="0" applyFont="1" applyAlignment="1">
      <alignment horizontal="left" vertical="center"/>
    </xf>
    <xf numFmtId="0" fontId="10" fillId="3" borderId="2" xfId="0" applyFont="1" applyFill="1" applyBorder="1" applyAlignment="1">
      <alignment horizontal="center" vertical="center" wrapText="1"/>
    </xf>
    <xf numFmtId="0" fontId="10" fillId="2" borderId="2" xfId="0" applyFont="1" applyFill="1" applyBorder="1" applyAlignment="1">
      <alignment horizontal="center" vertical="center" wrapText="1"/>
    </xf>
    <xf numFmtId="0" fontId="10" fillId="2" borderId="5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1" fillId="6" borderId="7" xfId="0" applyFont="1" applyFill="1" applyBorder="1"/>
    <xf numFmtId="0" fontId="1" fillId="6" borderId="4" xfId="0" applyFont="1" applyFill="1" applyBorder="1"/>
    <xf numFmtId="0" fontId="1" fillId="6" borderId="18" xfId="0" applyFont="1" applyFill="1" applyBorder="1"/>
    <xf numFmtId="0" fontId="1" fillId="0" borderId="4" xfId="0" applyFont="1" applyFill="1" applyBorder="1"/>
    <xf numFmtId="0" fontId="9" fillId="2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9" fillId="2" borderId="15" xfId="0" applyFont="1" applyFill="1" applyBorder="1" applyAlignment="1">
      <alignment horizontal="center" vertical="center"/>
    </xf>
    <xf numFmtId="0" fontId="11" fillId="0" borderId="1" xfId="0" applyFont="1" applyBorder="1" applyAlignment="1">
      <alignment horizontal="center" vertical="center" wrapText="1"/>
    </xf>
    <xf numFmtId="0" fontId="11" fillId="0" borderId="1" xfId="0" applyFont="1" applyBorder="1"/>
    <xf numFmtId="0" fontId="11" fillId="0" borderId="14" xfId="0" applyFont="1" applyBorder="1"/>
    <xf numFmtId="0" fontId="18" fillId="5" borderId="22" xfId="0" applyFont="1" applyFill="1" applyBorder="1" applyAlignment="1">
      <alignment horizontal="center" vertical="center" wrapText="1"/>
    </xf>
    <xf numFmtId="0" fontId="18" fillId="5" borderId="23" xfId="0" applyFont="1" applyFill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15" fillId="0" borderId="0" xfId="0" applyFont="1" applyAlignment="1">
      <alignment horizontal="left" vertical="center"/>
    </xf>
    <xf numFmtId="0" fontId="8" fillId="0" borderId="12" xfId="0" applyFont="1" applyBorder="1" applyAlignment="1">
      <alignment horizontal="left" vertical="center"/>
    </xf>
    <xf numFmtId="0" fontId="8" fillId="0" borderId="16" xfId="0" applyFont="1" applyBorder="1" applyAlignment="1">
      <alignment horizontal="left" vertical="center"/>
    </xf>
    <xf numFmtId="0" fontId="8" fillId="0" borderId="0" xfId="0" applyFont="1" applyBorder="1" applyAlignment="1">
      <alignment horizontal="center" vertical="center" wrapText="1"/>
    </xf>
    <xf numFmtId="0" fontId="9" fillId="0" borderId="8" xfId="0" applyFont="1" applyBorder="1"/>
  </cellXfs>
  <cellStyles count="2">
    <cellStyle name="Actividad" xfId="1" xr:uid="{07B074DF-A916-4859-B699-D7AFE7C92E52}"/>
    <cellStyle name="Normal" xfId="0" builtinId="0"/>
  </cellStyles>
  <dxfs count="14"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 patternType="lightUp">
          <fgColor theme="0" tint="-0.14996795556505021"/>
        </patternFill>
      </fill>
    </dxf>
    <dxf>
      <fill>
        <patternFill patternType="lightUp">
          <fgColor theme="0" tint="-0.34998626667073579"/>
        </patternFill>
      </fill>
    </dxf>
    <dxf>
      <fill>
        <patternFill patternType="solid">
          <fgColor rgb="FF8B4513"/>
          <bgColor rgb="FF8B4513"/>
        </patternFill>
      </fill>
    </dxf>
    <dxf>
      <fill>
        <patternFill patternType="solid">
          <fgColor rgb="FFFF66CC"/>
          <bgColor rgb="FFFF66CC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FF200"/>
          <bgColor rgb="FFFFF200"/>
        </patternFill>
      </fill>
    </dxf>
    <dxf>
      <fill>
        <patternFill patternType="solid">
          <fgColor rgb="FF662D91"/>
          <bgColor rgb="FF662D91"/>
        </patternFill>
      </fill>
    </dxf>
    <dxf>
      <fill>
        <patternFill patternType="solid">
          <fgColor rgb="FF2E3192"/>
          <bgColor rgb="FF2E3192"/>
        </patternFill>
      </fill>
    </dxf>
    <dxf>
      <fill>
        <patternFill patternType="solid">
          <fgColor rgb="FFED1C24"/>
          <bgColor rgb="FFED1C24"/>
        </patternFill>
      </fill>
    </dxf>
    <dxf>
      <fill>
        <patternFill patternType="solid">
          <fgColor rgb="FFFBB03B"/>
          <bgColor rgb="FFFBB03B"/>
        </patternFill>
      </fill>
    </dxf>
    <dxf>
      <fill>
        <patternFill patternType="solid">
          <fgColor rgb="FF29ABE2"/>
          <bgColor rgb="FF29ABE2"/>
        </patternFill>
      </fill>
    </dxf>
    <dxf>
      <fill>
        <patternFill patternType="solid">
          <fgColor rgb="FF8CC63F"/>
          <bgColor rgb="FF8CC63F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400050</xdr:colOff>
      <xdr:row>0</xdr:row>
      <xdr:rowOff>209549</xdr:rowOff>
    </xdr:from>
    <xdr:to>
      <xdr:col>1</xdr:col>
      <xdr:colOff>2381250</xdr:colOff>
      <xdr:row>2</xdr:row>
      <xdr:rowOff>328318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7275" y="209549"/>
          <a:ext cx="1981200" cy="93791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4</xdr:row>
          <xdr:rowOff>323850</xdr:rowOff>
        </xdr:from>
        <xdr:to>
          <xdr:col>4</xdr:col>
          <xdr:colOff>1171575</xdr:colOff>
          <xdr:row>8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PREPARAR PARA ENVIO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561975</xdr:colOff>
          <xdr:row>7</xdr:row>
          <xdr:rowOff>19050</xdr:rowOff>
        </xdr:from>
        <xdr:to>
          <xdr:col>1</xdr:col>
          <xdr:colOff>2190750</xdr:colOff>
          <xdr:row>8</xdr:row>
          <xdr:rowOff>76200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Editar Cronograma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B1:BH33"/>
  <sheetViews>
    <sheetView showGridLines="0" tabSelected="1" view="pageLayout" zoomScale="115" zoomScaleNormal="100" zoomScalePageLayoutView="115" workbookViewId="0">
      <selection activeCell="F2" sqref="F2:AF2"/>
    </sheetView>
  </sheetViews>
  <sheetFormatPr baseColWidth="10" defaultColWidth="9.140625" defaultRowHeight="15" x14ac:dyDescent="0.25"/>
  <cols>
    <col min="1" max="1" width="4.28515625" customWidth="1"/>
    <col min="2" max="2" width="45" customWidth="1"/>
    <col min="3" max="3" width="12" customWidth="1"/>
    <col min="4" max="4" width="8" customWidth="1"/>
    <col min="5" max="5" width="17" customWidth="1"/>
    <col min="6" max="45" width="3.42578125" customWidth="1"/>
  </cols>
  <sheetData>
    <row r="1" spans="2:60" ht="38.25" customHeight="1" x14ac:dyDescent="0.25">
      <c r="B1" s="10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2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</row>
    <row r="2" spans="2:60" ht="26.25" customHeight="1" x14ac:dyDescent="0.25">
      <c r="B2" s="13"/>
      <c r="C2" s="2"/>
      <c r="D2" s="2"/>
      <c r="E2" s="8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  <c r="AA2" s="46"/>
      <c r="AB2" s="46"/>
      <c r="AC2" s="46"/>
      <c r="AD2" s="46"/>
      <c r="AE2" s="46"/>
      <c r="AF2" s="46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14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</row>
    <row r="3" spans="2:60" ht="26.25" customHeight="1" x14ac:dyDescent="0.25">
      <c r="B3" s="13"/>
      <c r="C3" s="2"/>
      <c r="D3" s="2"/>
      <c r="E3" s="8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  <c r="AB3" s="26"/>
      <c r="AC3" s="26"/>
      <c r="AD3" s="26"/>
      <c r="AE3" s="26"/>
      <c r="AF3" s="26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14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</row>
    <row r="4" spans="2:60" ht="26.25" customHeight="1" x14ac:dyDescent="0.25">
      <c r="B4" s="13"/>
      <c r="C4" s="2"/>
      <c r="D4" s="2"/>
      <c r="E4" s="8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26"/>
      <c r="AC4" s="26"/>
      <c r="AD4" s="26"/>
      <c r="AE4" s="26"/>
      <c r="AF4" s="26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14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</row>
    <row r="5" spans="2:60" ht="26.25" customHeight="1" thickBot="1" x14ac:dyDescent="0.3">
      <c r="B5" s="15"/>
      <c r="C5" s="2"/>
      <c r="D5" s="2"/>
      <c r="E5" s="8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  <c r="AB5" s="26"/>
      <c r="AC5" s="26"/>
      <c r="AD5" s="26"/>
      <c r="AE5" s="26"/>
      <c r="AF5" s="26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14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</row>
    <row r="6" spans="2:60" ht="26.25" hidden="1" customHeight="1" x14ac:dyDescent="0.25">
      <c r="B6" s="15"/>
      <c r="C6" s="2"/>
      <c r="D6" s="2"/>
      <c r="F6" s="1">
        <f>$D$10</f>
        <v>8</v>
      </c>
      <c r="G6" s="1">
        <f t="shared" ref="G6:AS6" si="0">IF(F6&gt;=53, 1, F6+1)</f>
        <v>9</v>
      </c>
      <c r="H6" s="1">
        <f t="shared" si="0"/>
        <v>10</v>
      </c>
      <c r="I6" s="1">
        <f t="shared" si="0"/>
        <v>11</v>
      </c>
      <c r="J6" s="1">
        <f t="shared" si="0"/>
        <v>12</v>
      </c>
      <c r="K6" s="1">
        <f t="shared" si="0"/>
        <v>13</v>
      </c>
      <c r="L6" s="1">
        <f t="shared" si="0"/>
        <v>14</v>
      </c>
      <c r="M6" s="1">
        <f t="shared" si="0"/>
        <v>15</v>
      </c>
      <c r="N6" s="1">
        <f t="shared" si="0"/>
        <v>16</v>
      </c>
      <c r="O6" s="1">
        <f t="shared" si="0"/>
        <v>17</v>
      </c>
      <c r="P6" s="1">
        <f t="shared" si="0"/>
        <v>18</v>
      </c>
      <c r="Q6" s="1">
        <f t="shared" si="0"/>
        <v>19</v>
      </c>
      <c r="R6" s="1">
        <f t="shared" si="0"/>
        <v>20</v>
      </c>
      <c r="S6" s="1">
        <f t="shared" si="0"/>
        <v>21</v>
      </c>
      <c r="T6" s="1">
        <f t="shared" si="0"/>
        <v>22</v>
      </c>
      <c r="U6" s="1">
        <f t="shared" si="0"/>
        <v>23</v>
      </c>
      <c r="V6" s="1">
        <f t="shared" si="0"/>
        <v>24</v>
      </c>
      <c r="W6" s="1">
        <f t="shared" si="0"/>
        <v>25</v>
      </c>
      <c r="X6" s="1">
        <f t="shared" si="0"/>
        <v>26</v>
      </c>
      <c r="Y6" s="1">
        <f t="shared" si="0"/>
        <v>27</v>
      </c>
      <c r="Z6" s="1">
        <f t="shared" si="0"/>
        <v>28</v>
      </c>
      <c r="AA6" s="1">
        <f t="shared" si="0"/>
        <v>29</v>
      </c>
      <c r="AB6" s="1">
        <f t="shared" si="0"/>
        <v>30</v>
      </c>
      <c r="AC6" s="1">
        <f t="shared" si="0"/>
        <v>31</v>
      </c>
      <c r="AD6" s="1">
        <f t="shared" si="0"/>
        <v>32</v>
      </c>
      <c r="AE6" s="1">
        <f t="shared" si="0"/>
        <v>33</v>
      </c>
      <c r="AF6" s="1">
        <f t="shared" si="0"/>
        <v>34</v>
      </c>
      <c r="AG6" s="1">
        <f t="shared" si="0"/>
        <v>35</v>
      </c>
      <c r="AH6" s="1">
        <f t="shared" si="0"/>
        <v>36</v>
      </c>
      <c r="AI6" s="1">
        <f t="shared" si="0"/>
        <v>37</v>
      </c>
      <c r="AJ6" s="1">
        <f t="shared" si="0"/>
        <v>38</v>
      </c>
      <c r="AK6" s="1">
        <f t="shared" si="0"/>
        <v>39</v>
      </c>
      <c r="AL6" s="1">
        <f t="shared" si="0"/>
        <v>40</v>
      </c>
      <c r="AM6" s="1">
        <f t="shared" si="0"/>
        <v>41</v>
      </c>
      <c r="AN6" s="1">
        <f t="shared" si="0"/>
        <v>42</v>
      </c>
      <c r="AO6" s="1">
        <f t="shared" si="0"/>
        <v>43</v>
      </c>
      <c r="AP6" s="1">
        <f t="shared" si="0"/>
        <v>44</v>
      </c>
      <c r="AQ6" s="1">
        <f t="shared" si="0"/>
        <v>45</v>
      </c>
      <c r="AR6" s="1">
        <f t="shared" si="0"/>
        <v>46</v>
      </c>
      <c r="AS6" s="1">
        <f t="shared" si="0"/>
        <v>47</v>
      </c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</row>
    <row r="7" spans="2:60" ht="26.25" hidden="1" customHeight="1" thickBot="1" x14ac:dyDescent="0.3">
      <c r="B7" s="15"/>
      <c r="C7" s="2"/>
      <c r="D7" s="2"/>
      <c r="F7" s="1">
        <f>MONTH( DATE($D$9, 1, 4) - WEEKDAY(DATE($D$9, 1, 4), 2) + 4 + ($D$10 - 1) * 7 + (COLUMN() - 6) * 7 )</f>
        <v>2</v>
      </c>
      <c r="G7" s="1">
        <f t="shared" ref="G7:AS7" si="1">MONTH( DATE($D$9, 1, 4) - WEEKDAY(DATE($D$9, 1, 4), 2) + 4 + ($D$10 - 1) * 7 + (COLUMN() - 6) * 7 )</f>
        <v>2</v>
      </c>
      <c r="H7" s="1">
        <f t="shared" si="1"/>
        <v>3</v>
      </c>
      <c r="I7" s="1">
        <f t="shared" si="1"/>
        <v>3</v>
      </c>
      <c r="J7" s="1">
        <f t="shared" si="1"/>
        <v>3</v>
      </c>
      <c r="K7" s="1">
        <f t="shared" si="1"/>
        <v>3</v>
      </c>
      <c r="L7" s="1">
        <f t="shared" si="1"/>
        <v>4</v>
      </c>
      <c r="M7" s="1">
        <f t="shared" si="1"/>
        <v>4</v>
      </c>
      <c r="N7" s="1">
        <f t="shared" si="1"/>
        <v>4</v>
      </c>
      <c r="O7" s="1">
        <f t="shared" si="1"/>
        <v>4</v>
      </c>
      <c r="P7" s="1">
        <f t="shared" si="1"/>
        <v>4</v>
      </c>
      <c r="Q7" s="1">
        <f t="shared" si="1"/>
        <v>5</v>
      </c>
      <c r="R7" s="1">
        <f t="shared" si="1"/>
        <v>5</v>
      </c>
      <c r="S7" s="1">
        <f t="shared" si="1"/>
        <v>5</v>
      </c>
      <c r="T7" s="1">
        <f t="shared" si="1"/>
        <v>5</v>
      </c>
      <c r="U7" s="1">
        <f t="shared" si="1"/>
        <v>6</v>
      </c>
      <c r="V7" s="1">
        <f t="shared" si="1"/>
        <v>6</v>
      </c>
      <c r="W7" s="1">
        <f t="shared" si="1"/>
        <v>6</v>
      </c>
      <c r="X7" s="1">
        <f t="shared" si="1"/>
        <v>6</v>
      </c>
      <c r="Y7" s="1">
        <f t="shared" si="1"/>
        <v>7</v>
      </c>
      <c r="Z7" s="1">
        <f t="shared" si="1"/>
        <v>7</v>
      </c>
      <c r="AA7" s="1">
        <f t="shared" si="1"/>
        <v>7</v>
      </c>
      <c r="AB7" s="1">
        <f t="shared" si="1"/>
        <v>7</v>
      </c>
      <c r="AC7" s="1">
        <f t="shared" si="1"/>
        <v>7</v>
      </c>
      <c r="AD7" s="1">
        <f t="shared" si="1"/>
        <v>8</v>
      </c>
      <c r="AE7" s="1">
        <f t="shared" si="1"/>
        <v>8</v>
      </c>
      <c r="AF7" s="1">
        <f t="shared" si="1"/>
        <v>8</v>
      </c>
      <c r="AG7" s="1">
        <f t="shared" si="1"/>
        <v>8</v>
      </c>
      <c r="AH7" s="1">
        <f t="shared" si="1"/>
        <v>9</v>
      </c>
      <c r="AI7" s="1">
        <f t="shared" si="1"/>
        <v>9</v>
      </c>
      <c r="AJ7" s="1">
        <f t="shared" si="1"/>
        <v>9</v>
      </c>
      <c r="AK7" s="1">
        <f t="shared" si="1"/>
        <v>9</v>
      </c>
      <c r="AL7" s="1">
        <f t="shared" si="1"/>
        <v>10</v>
      </c>
      <c r="AM7" s="1">
        <f t="shared" si="1"/>
        <v>10</v>
      </c>
      <c r="AN7" s="1">
        <f t="shared" si="1"/>
        <v>10</v>
      </c>
      <c r="AO7" s="1">
        <f t="shared" si="1"/>
        <v>10</v>
      </c>
      <c r="AP7" s="1">
        <f t="shared" si="1"/>
        <v>10</v>
      </c>
      <c r="AQ7" s="1">
        <f t="shared" si="1"/>
        <v>11</v>
      </c>
      <c r="AR7" s="1">
        <f t="shared" si="1"/>
        <v>11</v>
      </c>
      <c r="AS7" s="1">
        <f t="shared" si="1"/>
        <v>11</v>
      </c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</row>
    <row r="8" spans="2:60" ht="26.25" customHeight="1" thickBot="1" x14ac:dyDescent="0.3">
      <c r="B8" s="13"/>
      <c r="C8" s="2"/>
      <c r="D8" s="41" t="s">
        <v>28</v>
      </c>
      <c r="E8" s="42"/>
      <c r="G8" s="23"/>
      <c r="H8" s="23"/>
      <c r="I8" s="23"/>
      <c r="K8" s="2"/>
      <c r="L8" s="8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14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</row>
    <row r="9" spans="2:60" ht="26.25" customHeight="1" x14ac:dyDescent="0.25">
      <c r="B9" s="13"/>
      <c r="C9" s="2"/>
      <c r="D9" s="30"/>
      <c r="E9" s="23" t="s">
        <v>29</v>
      </c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14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</row>
    <row r="10" spans="2:60" ht="37.5" customHeight="1" x14ac:dyDescent="0.3">
      <c r="B10" s="16" t="s">
        <v>21</v>
      </c>
      <c r="C10" s="9"/>
      <c r="D10" s="30"/>
      <c r="E10" s="23" t="s">
        <v>23</v>
      </c>
      <c r="F10" s="38"/>
      <c r="G10" s="39"/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Q10" s="39"/>
      <c r="AR10" s="39"/>
      <c r="AS10" s="40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</row>
    <row r="11" spans="2:60" ht="27" customHeight="1" x14ac:dyDescent="0.25">
      <c r="B11" s="47" t="s">
        <v>1</v>
      </c>
      <c r="C11" s="49" t="s">
        <v>2</v>
      </c>
      <c r="D11" s="49" t="s">
        <v>3</v>
      </c>
      <c r="E11" s="49" t="s">
        <v>4</v>
      </c>
      <c r="F11" s="29" t="str">
        <f>CHOOSE(F7, "ENE", "FEB", "MAR", "ABR", "MAY", "JUN", "JUL", "AGO", "SEP", "OCT", "NOV", "DIC")</f>
        <v>FEB</v>
      </c>
      <c r="G11" s="35" t="str">
        <f t="shared" ref="G11:AS11" si="2">IF(G7&lt;&gt;F7, CHOOSE(G7, "ENE", "FEB", "MAR", "ABR", "MAY", "JUN", "JUL", "AGO", "SEP", "OCT", "NOV", "DIC"), "")</f>
        <v/>
      </c>
      <c r="H11" s="35" t="str">
        <f t="shared" si="2"/>
        <v>MAR</v>
      </c>
      <c r="I11" s="35" t="str">
        <f t="shared" si="2"/>
        <v/>
      </c>
      <c r="J11" s="27" t="str">
        <f t="shared" si="2"/>
        <v/>
      </c>
      <c r="K11" s="36" t="str">
        <f t="shared" si="2"/>
        <v/>
      </c>
      <c r="L11" s="36" t="str">
        <f t="shared" si="2"/>
        <v>ABR</v>
      </c>
      <c r="M11" s="36" t="str">
        <f t="shared" si="2"/>
        <v/>
      </c>
      <c r="N11" s="36" t="str">
        <f t="shared" si="2"/>
        <v/>
      </c>
      <c r="O11" s="28" t="str">
        <f t="shared" si="2"/>
        <v/>
      </c>
      <c r="P11" s="35" t="str">
        <f t="shared" si="2"/>
        <v/>
      </c>
      <c r="Q11" s="35" t="str">
        <f t="shared" si="2"/>
        <v>MAY</v>
      </c>
      <c r="R11" s="35" t="str">
        <f t="shared" si="2"/>
        <v/>
      </c>
      <c r="S11" s="27" t="str">
        <f t="shared" si="2"/>
        <v/>
      </c>
      <c r="T11" s="36" t="str">
        <f t="shared" si="2"/>
        <v/>
      </c>
      <c r="U11" s="36" t="str">
        <f t="shared" si="2"/>
        <v>JUN</v>
      </c>
      <c r="V11" s="36" t="str">
        <f t="shared" si="2"/>
        <v/>
      </c>
      <c r="W11" s="36" t="str">
        <f t="shared" si="2"/>
        <v/>
      </c>
      <c r="X11" s="28" t="str">
        <f t="shared" si="2"/>
        <v/>
      </c>
      <c r="Y11" s="35" t="str">
        <f t="shared" si="2"/>
        <v>JUL</v>
      </c>
      <c r="Z11" s="35" t="str">
        <f t="shared" si="2"/>
        <v/>
      </c>
      <c r="AA11" s="35" t="str">
        <f t="shared" si="2"/>
        <v/>
      </c>
      <c r="AB11" s="27" t="str">
        <f t="shared" si="2"/>
        <v/>
      </c>
      <c r="AC11" s="36" t="str">
        <f t="shared" si="2"/>
        <v/>
      </c>
      <c r="AD11" s="36" t="str">
        <f t="shared" si="2"/>
        <v>AGO</v>
      </c>
      <c r="AE11" s="36" t="str">
        <f t="shared" si="2"/>
        <v/>
      </c>
      <c r="AF11" s="28" t="str">
        <f t="shared" si="2"/>
        <v/>
      </c>
      <c r="AG11" s="35" t="str">
        <f t="shared" si="2"/>
        <v/>
      </c>
      <c r="AH11" s="35" t="str">
        <f t="shared" si="2"/>
        <v>SEP</v>
      </c>
      <c r="AI11" s="35" t="str">
        <f t="shared" si="2"/>
        <v/>
      </c>
      <c r="AJ11" s="35" t="str">
        <f t="shared" si="2"/>
        <v/>
      </c>
      <c r="AK11" s="27" t="str">
        <f t="shared" si="2"/>
        <v/>
      </c>
      <c r="AL11" s="36" t="str">
        <f t="shared" si="2"/>
        <v>OCT</v>
      </c>
      <c r="AM11" s="36" t="str">
        <f t="shared" si="2"/>
        <v/>
      </c>
      <c r="AN11" s="36" t="str">
        <f t="shared" si="2"/>
        <v/>
      </c>
      <c r="AO11" s="28" t="str">
        <f t="shared" si="2"/>
        <v/>
      </c>
      <c r="AP11" s="35" t="str">
        <f t="shared" si="2"/>
        <v/>
      </c>
      <c r="AQ11" s="35" t="str">
        <f t="shared" si="2"/>
        <v>NOV</v>
      </c>
      <c r="AR11" s="35" t="str">
        <f t="shared" si="2"/>
        <v/>
      </c>
      <c r="AS11" s="37" t="str">
        <f t="shared" si="2"/>
        <v/>
      </c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</row>
    <row r="12" spans="2:60" ht="15.75" thickBot="1" x14ac:dyDescent="0.3">
      <c r="B12" s="48"/>
      <c r="C12" s="50"/>
      <c r="D12" s="50"/>
      <c r="E12" s="50"/>
      <c r="F12" s="4">
        <f t="shared" ref="F12:AS12" si="3">F$6</f>
        <v>8</v>
      </c>
      <c r="G12" s="5">
        <f t="shared" si="3"/>
        <v>9</v>
      </c>
      <c r="H12" s="5">
        <f t="shared" si="3"/>
        <v>10</v>
      </c>
      <c r="I12" s="5">
        <f t="shared" si="3"/>
        <v>11</v>
      </c>
      <c r="J12" s="6">
        <f t="shared" si="3"/>
        <v>12</v>
      </c>
      <c r="K12" s="6">
        <f t="shared" si="3"/>
        <v>13</v>
      </c>
      <c r="L12" s="6">
        <f t="shared" si="3"/>
        <v>14</v>
      </c>
      <c r="M12" s="6">
        <f t="shared" si="3"/>
        <v>15</v>
      </c>
      <c r="N12" s="6">
        <f t="shared" si="3"/>
        <v>16</v>
      </c>
      <c r="O12" s="5">
        <f t="shared" si="3"/>
        <v>17</v>
      </c>
      <c r="P12" s="5">
        <f t="shared" si="3"/>
        <v>18</v>
      </c>
      <c r="Q12" s="5">
        <f t="shared" si="3"/>
        <v>19</v>
      </c>
      <c r="R12" s="5">
        <f t="shared" si="3"/>
        <v>20</v>
      </c>
      <c r="S12" s="6">
        <f t="shared" si="3"/>
        <v>21</v>
      </c>
      <c r="T12" s="6">
        <f t="shared" si="3"/>
        <v>22</v>
      </c>
      <c r="U12" s="6">
        <f t="shared" si="3"/>
        <v>23</v>
      </c>
      <c r="V12" s="6">
        <f t="shared" si="3"/>
        <v>24</v>
      </c>
      <c r="W12" s="6">
        <f t="shared" si="3"/>
        <v>25</v>
      </c>
      <c r="X12" s="5">
        <f t="shared" si="3"/>
        <v>26</v>
      </c>
      <c r="Y12" s="5">
        <f t="shared" si="3"/>
        <v>27</v>
      </c>
      <c r="Z12" s="5">
        <f t="shared" si="3"/>
        <v>28</v>
      </c>
      <c r="AA12" s="5">
        <f t="shared" si="3"/>
        <v>29</v>
      </c>
      <c r="AB12" s="6">
        <f t="shared" si="3"/>
        <v>30</v>
      </c>
      <c r="AC12" s="6">
        <f t="shared" si="3"/>
        <v>31</v>
      </c>
      <c r="AD12" s="6">
        <f t="shared" si="3"/>
        <v>32</v>
      </c>
      <c r="AE12" s="6">
        <f t="shared" si="3"/>
        <v>33</v>
      </c>
      <c r="AF12" s="5">
        <f t="shared" si="3"/>
        <v>34</v>
      </c>
      <c r="AG12" s="5">
        <f t="shared" si="3"/>
        <v>35</v>
      </c>
      <c r="AH12" s="5">
        <f t="shared" si="3"/>
        <v>36</v>
      </c>
      <c r="AI12" s="5">
        <f t="shared" si="3"/>
        <v>37</v>
      </c>
      <c r="AJ12" s="5">
        <f t="shared" si="3"/>
        <v>38</v>
      </c>
      <c r="AK12" s="6">
        <f t="shared" si="3"/>
        <v>39</v>
      </c>
      <c r="AL12" s="6">
        <f t="shared" si="3"/>
        <v>40</v>
      </c>
      <c r="AM12" s="6">
        <f t="shared" si="3"/>
        <v>41</v>
      </c>
      <c r="AN12" s="6">
        <f t="shared" si="3"/>
        <v>42</v>
      </c>
      <c r="AO12" s="5">
        <f t="shared" si="3"/>
        <v>43</v>
      </c>
      <c r="AP12" s="5">
        <f t="shared" si="3"/>
        <v>44</v>
      </c>
      <c r="AQ12" s="5">
        <f t="shared" si="3"/>
        <v>45</v>
      </c>
      <c r="AR12" s="5">
        <f t="shared" si="3"/>
        <v>46</v>
      </c>
      <c r="AS12" s="17">
        <f t="shared" si="3"/>
        <v>47</v>
      </c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</row>
    <row r="13" spans="2:60" ht="29.25" customHeight="1" thickBot="1" x14ac:dyDescent="0.3">
      <c r="B13" s="18"/>
      <c r="C13" s="7"/>
      <c r="D13" s="3"/>
      <c r="E13" s="3"/>
      <c r="F13" s="31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2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32"/>
      <c r="AR13" s="32"/>
      <c r="AS13" s="33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</row>
    <row r="14" spans="2:60" ht="29.25" customHeight="1" thickBot="1" x14ac:dyDescent="0.3">
      <c r="B14" s="18"/>
      <c r="C14" s="7"/>
      <c r="D14" s="3"/>
      <c r="E14" s="3"/>
      <c r="F14" s="31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32"/>
      <c r="AH14" s="32"/>
      <c r="AI14" s="32"/>
      <c r="AJ14" s="32"/>
      <c r="AK14" s="32"/>
      <c r="AL14" s="32"/>
      <c r="AM14" s="32"/>
      <c r="AN14" s="32"/>
      <c r="AO14" s="32"/>
      <c r="AP14" s="32"/>
      <c r="AQ14" s="32"/>
      <c r="AR14" s="32"/>
      <c r="AS14" s="33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</row>
    <row r="15" spans="2:60" ht="29.25" customHeight="1" thickBot="1" x14ac:dyDescent="0.3">
      <c r="B15" s="18"/>
      <c r="C15" s="7"/>
      <c r="D15" s="3"/>
      <c r="E15" s="3"/>
      <c r="F15" s="31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4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32"/>
      <c r="AC15" s="32"/>
      <c r="AD15" s="32"/>
      <c r="AE15" s="32"/>
      <c r="AF15" s="32"/>
      <c r="AG15" s="32"/>
      <c r="AH15" s="32"/>
      <c r="AI15" s="32"/>
      <c r="AJ15" s="32"/>
      <c r="AK15" s="32"/>
      <c r="AL15" s="32"/>
      <c r="AM15" s="32"/>
      <c r="AN15" s="32"/>
      <c r="AO15" s="32"/>
      <c r="AP15" s="32"/>
      <c r="AQ15" s="32"/>
      <c r="AR15" s="32"/>
      <c r="AS15" s="33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</row>
    <row r="16" spans="2:60" ht="29.25" customHeight="1" thickBot="1" x14ac:dyDescent="0.3">
      <c r="B16" s="18"/>
      <c r="C16" s="7"/>
      <c r="D16" s="3"/>
      <c r="E16" s="3"/>
      <c r="F16" s="31"/>
      <c r="G16" s="32"/>
      <c r="H16" s="32"/>
      <c r="I16" s="32"/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32"/>
      <c r="AC16" s="32"/>
      <c r="AD16" s="32"/>
      <c r="AE16" s="32"/>
      <c r="AF16" s="32"/>
      <c r="AG16" s="32"/>
      <c r="AH16" s="32"/>
      <c r="AI16" s="32"/>
      <c r="AJ16" s="32"/>
      <c r="AK16" s="32"/>
      <c r="AL16" s="32"/>
      <c r="AM16" s="32"/>
      <c r="AN16" s="32"/>
      <c r="AO16" s="32"/>
      <c r="AP16" s="32"/>
      <c r="AQ16" s="32"/>
      <c r="AR16" s="32"/>
      <c r="AS16" s="33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</row>
    <row r="17" spans="2:60" ht="29.25" customHeight="1" thickBot="1" x14ac:dyDescent="0.3">
      <c r="B17" s="18"/>
      <c r="C17" s="7"/>
      <c r="D17" s="3"/>
      <c r="E17" s="3"/>
      <c r="F17" s="31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32"/>
      <c r="AC17" s="32"/>
      <c r="AD17" s="32"/>
      <c r="AE17" s="32"/>
      <c r="AF17" s="32"/>
      <c r="AG17" s="32"/>
      <c r="AH17" s="32"/>
      <c r="AI17" s="32"/>
      <c r="AJ17" s="32"/>
      <c r="AK17" s="32"/>
      <c r="AL17" s="32"/>
      <c r="AM17" s="32"/>
      <c r="AN17" s="32"/>
      <c r="AO17" s="32"/>
      <c r="AP17" s="32"/>
      <c r="AQ17" s="32"/>
      <c r="AR17" s="32"/>
      <c r="AS17" s="33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</row>
    <row r="18" spans="2:60" ht="29.25" customHeight="1" thickBot="1" x14ac:dyDescent="0.3">
      <c r="B18" s="18"/>
      <c r="C18" s="7"/>
      <c r="D18" s="3"/>
      <c r="E18" s="3"/>
      <c r="F18" s="31"/>
      <c r="G18" s="32"/>
      <c r="H18" s="32"/>
      <c r="I18" s="32"/>
      <c r="J18" s="32"/>
      <c r="K18" s="32"/>
      <c r="L18" s="32"/>
      <c r="M18" s="32"/>
      <c r="N18" s="32"/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32"/>
      <c r="AC18" s="32"/>
      <c r="AD18" s="32"/>
      <c r="AE18" s="32"/>
      <c r="AF18" s="32"/>
      <c r="AG18" s="32"/>
      <c r="AH18" s="32"/>
      <c r="AI18" s="32"/>
      <c r="AJ18" s="32"/>
      <c r="AK18" s="32"/>
      <c r="AL18" s="32"/>
      <c r="AM18" s="32"/>
      <c r="AN18" s="32"/>
      <c r="AO18" s="32"/>
      <c r="AP18" s="32"/>
      <c r="AQ18" s="32"/>
      <c r="AR18" s="32"/>
      <c r="AS18" s="33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</row>
    <row r="19" spans="2:60" ht="29.25" customHeight="1" thickBot="1" x14ac:dyDescent="0.3">
      <c r="B19" s="19"/>
      <c r="C19" s="7"/>
      <c r="D19" s="3"/>
      <c r="E19" s="3"/>
      <c r="F19" s="31"/>
      <c r="G19" s="32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32"/>
      <c r="AC19" s="32"/>
      <c r="AD19" s="32"/>
      <c r="AE19" s="32"/>
      <c r="AF19" s="32"/>
      <c r="AG19" s="32"/>
      <c r="AH19" s="32"/>
      <c r="AI19" s="32"/>
      <c r="AJ19" s="32"/>
      <c r="AK19" s="32"/>
      <c r="AL19" s="32"/>
      <c r="AM19" s="32"/>
      <c r="AN19" s="32"/>
      <c r="AO19" s="32"/>
      <c r="AP19" s="32"/>
      <c r="AQ19" s="32"/>
      <c r="AR19" s="32"/>
      <c r="AS19" s="33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</row>
    <row r="20" spans="2:60" ht="29.25" customHeight="1" thickBot="1" x14ac:dyDescent="0.3">
      <c r="B20" s="18"/>
      <c r="C20" s="7"/>
      <c r="D20" s="3"/>
      <c r="E20" s="3"/>
      <c r="F20" s="31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32"/>
      <c r="AF20" s="32"/>
      <c r="AG20" s="32"/>
      <c r="AH20" s="32"/>
      <c r="AI20" s="32"/>
      <c r="AJ20" s="32"/>
      <c r="AK20" s="32"/>
      <c r="AL20" s="32"/>
      <c r="AM20" s="32"/>
      <c r="AN20" s="32"/>
      <c r="AO20" s="32"/>
      <c r="AP20" s="32"/>
      <c r="AQ20" s="32"/>
      <c r="AR20" s="32"/>
      <c r="AS20" s="33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</row>
    <row r="21" spans="2:60" ht="29.25" customHeight="1" thickBot="1" x14ac:dyDescent="0.3">
      <c r="B21" s="18"/>
      <c r="C21" s="7"/>
      <c r="D21" s="3"/>
      <c r="E21" s="3"/>
      <c r="F21" s="31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  <c r="AD21" s="32"/>
      <c r="AE21" s="32"/>
      <c r="AF21" s="32"/>
      <c r="AG21" s="32"/>
      <c r="AH21" s="32"/>
      <c r="AI21" s="32"/>
      <c r="AJ21" s="32"/>
      <c r="AK21" s="32"/>
      <c r="AL21" s="32"/>
      <c r="AM21" s="32"/>
      <c r="AN21" s="32"/>
      <c r="AO21" s="32"/>
      <c r="AP21" s="32"/>
      <c r="AQ21" s="32"/>
      <c r="AR21" s="32"/>
      <c r="AS21" s="33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</row>
    <row r="22" spans="2:60" ht="29.25" customHeight="1" thickBot="1" x14ac:dyDescent="0.3">
      <c r="B22" s="18"/>
      <c r="C22" s="7"/>
      <c r="D22" s="3"/>
      <c r="E22" s="3"/>
      <c r="F22" s="31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  <c r="AD22" s="32"/>
      <c r="AE22" s="32"/>
      <c r="AF22" s="32"/>
      <c r="AG22" s="32"/>
      <c r="AH22" s="32"/>
      <c r="AI22" s="32"/>
      <c r="AJ22" s="32"/>
      <c r="AK22" s="32"/>
      <c r="AL22" s="32"/>
      <c r="AM22" s="32"/>
      <c r="AN22" s="32"/>
      <c r="AO22" s="32"/>
      <c r="AP22" s="32"/>
      <c r="AQ22" s="32"/>
      <c r="AR22" s="32"/>
      <c r="AS22" s="33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</row>
    <row r="23" spans="2:60" ht="29.25" customHeight="1" x14ac:dyDescent="0.25">
      <c r="B23" s="18"/>
      <c r="C23" s="7"/>
      <c r="D23" s="3"/>
      <c r="E23" s="3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14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</row>
    <row r="24" spans="2:60" ht="29.25" customHeight="1" x14ac:dyDescent="0.25">
      <c r="B24" s="43" t="s">
        <v>19</v>
      </c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44"/>
      <c r="AJ24" s="44"/>
      <c r="AK24" s="44"/>
      <c r="AL24" s="44"/>
      <c r="AM24" s="44"/>
      <c r="AN24" s="44"/>
      <c r="AO24" s="44"/>
      <c r="AP24" s="44"/>
      <c r="AQ24" s="44"/>
      <c r="AR24" s="44"/>
      <c r="AS24" s="45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</row>
    <row r="25" spans="2:60" ht="29.25" customHeight="1" x14ac:dyDescent="0.25">
      <c r="B25" s="18"/>
      <c r="C25" s="7"/>
      <c r="D25" s="3"/>
      <c r="E25" s="3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14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</row>
    <row r="26" spans="2:60" ht="29.25" customHeight="1" x14ac:dyDescent="0.25"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</row>
    <row r="27" spans="2:60" ht="29.25" customHeight="1" x14ac:dyDescent="0.25">
      <c r="B27" s="18"/>
      <c r="C27" s="7"/>
      <c r="D27" s="3"/>
      <c r="E27" s="3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14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</row>
    <row r="28" spans="2:60" ht="29.25" customHeight="1" x14ac:dyDescent="0.25">
      <c r="B28" s="18"/>
      <c r="C28" s="7"/>
      <c r="D28" s="3"/>
      <c r="E28" s="3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14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</row>
    <row r="29" spans="2:60" ht="29.25" customHeight="1" x14ac:dyDescent="0.25">
      <c r="B29" s="18"/>
      <c r="C29" s="7"/>
      <c r="D29" s="3"/>
      <c r="E29" s="3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21"/>
      <c r="AH29" s="21"/>
      <c r="AI29" s="21"/>
      <c r="AJ29" s="21"/>
      <c r="AK29" s="21"/>
      <c r="AL29" s="21"/>
      <c r="AM29" s="21"/>
      <c r="AN29" s="21"/>
      <c r="AO29" s="21"/>
      <c r="AP29" s="21"/>
      <c r="AQ29" s="21"/>
      <c r="AR29" s="21"/>
      <c r="AS29" s="22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</row>
    <row r="30" spans="2:60" ht="29.25" customHeight="1" x14ac:dyDescent="0.25">
      <c r="B30" s="18"/>
      <c r="C30" s="7"/>
      <c r="D30" s="3"/>
      <c r="E30" s="3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</row>
    <row r="31" spans="2:60" ht="29.25" customHeight="1" x14ac:dyDescent="0.25">
      <c r="B31" s="18"/>
      <c r="C31" s="7"/>
      <c r="D31" s="3"/>
      <c r="E31" s="3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</row>
    <row r="32" spans="2:60" ht="29.25" customHeight="1" x14ac:dyDescent="0.25">
      <c r="B32" s="18"/>
      <c r="C32" s="7"/>
      <c r="D32" s="3"/>
      <c r="E32" s="3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</row>
    <row r="33" spans="2:60" ht="29.25" customHeight="1" x14ac:dyDescent="0.25">
      <c r="B33" s="18"/>
      <c r="C33" s="7"/>
      <c r="D33" s="3"/>
      <c r="E33" s="3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</row>
  </sheetData>
  <mergeCells count="10">
    <mergeCell ref="F10:AS10"/>
    <mergeCell ref="D8:E8"/>
    <mergeCell ref="B24:AS24"/>
    <mergeCell ref="F2:AF2"/>
    <mergeCell ref="F4:AA4"/>
    <mergeCell ref="F5:AA5"/>
    <mergeCell ref="B11:B12"/>
    <mergeCell ref="D11:D12"/>
    <mergeCell ref="C11:C12"/>
    <mergeCell ref="E11:E12"/>
  </mergeCells>
  <conditionalFormatting sqref="F13:AS23 F25:AS25 F27:AS34">
    <cfRule type="expression" dxfId="13" priority="3" stopIfTrue="1">
      <formula>AND(ISNUMBER($C13), ISNUMBER($D13), (COLUMN()-COLUMN($F$13)+1) &gt;= MATCH($D13, $F$12:$AS$12, 0), (COLUMN()-COLUMN($F$13)+1) &lt; (MATCH($D13, $F$12:$AS$12, 0) + $C13), $E13="1-Verde")</formula>
    </cfRule>
    <cfRule type="expression" dxfId="12" priority="4" stopIfTrue="1">
      <formula>AND(ISNUMBER($C13), ISNUMBER($D13), (COLUMN()-COLUMN($F$13)+1) &gt;= MATCH($D13, $F$12:$AS$12, 0), (COLUMN()-COLUMN($F$13)+1) &lt; (MATCH($D13, $F$12:$AS$12, 0) + $C13), $E13="2-AzulClaro")</formula>
    </cfRule>
    <cfRule type="expression" dxfId="11" priority="5" stopIfTrue="1">
      <formula>AND(ISNUMBER($C13), ISNUMBER($D13), (COLUMN()-COLUMN($F$13)+1) &gt;= MATCH($D13, $F$12:$AS$12, 0), (COLUMN()-COLUMN($F$13)+1) &lt; (MATCH($D13, $F$12:$AS$12, 0) + $C13), $E13="3-Naranja")</formula>
    </cfRule>
    <cfRule type="expression" dxfId="10" priority="6" stopIfTrue="1">
      <formula>AND(ISNUMBER($C13), ISNUMBER($D13), (COLUMN()-COLUMN($F$13)+1) &gt;= MATCH($D13, $F$12:$AS$12, 0), (COLUMN()-COLUMN($F$13)+1) &lt; (MATCH($D13, $F$12:$AS$12, 0) + $C13), $E13="4-Rojo")</formula>
    </cfRule>
    <cfRule type="expression" dxfId="9" priority="7" stopIfTrue="1">
      <formula>AND(ISNUMBER($C13), ISNUMBER($D13), (COLUMN()-COLUMN($F$13)+1) &gt;= MATCH($D13, $F$12:$AS$12, 0), (COLUMN()-COLUMN($F$13)+1) &lt; (MATCH($D13, $F$12:$AS$12, 0) + $C13), $E13="5-AzulOscuro")</formula>
    </cfRule>
    <cfRule type="expression" dxfId="8" priority="8" stopIfTrue="1">
      <formula>AND(ISNUMBER($C13), ISNUMBER($D13), (COLUMN()-COLUMN($F$13)+1) &gt;= MATCH($D13, $F$12:$AS$12, 0), (COLUMN()-COLUMN($F$13)+1) &lt; (MATCH($D13, $F$12:$AS$12, 0) + $C13), $E13="6-Morado")</formula>
    </cfRule>
    <cfRule type="expression" dxfId="7" priority="9" stopIfTrue="1">
      <formula>AND(ISNUMBER($C13), ISNUMBER($D13), (COLUMN()-COLUMN($F$13)+1) &gt;= MATCH($D13, $F$12:$AS$12, 0), (COLUMN()-COLUMN($F$13)+1) &lt; (MATCH($D13, $F$12:$AS$12, 0) + $C13), $E13="7-Amarillo")</formula>
    </cfRule>
    <cfRule type="expression" dxfId="6" priority="10" stopIfTrue="1">
      <formula>AND(ISNUMBER($C13), ISNUMBER($D13), (COLUMN()-COLUMN($F$13)+1) &gt;= MATCH($D13, $F$12:$AS$12, 0), (COLUMN()-COLUMN($F$13)+1) &lt; (MATCH($D13, $F$12:$AS$12, 0) + $C13), $E13="8-GrisOscuro")</formula>
    </cfRule>
    <cfRule type="expression" dxfId="5" priority="11" stopIfTrue="1">
      <formula>AND(ISNUMBER($C13), ISNUMBER($D13), (COLUMN()-COLUMN($F$13)+1) &gt;= MATCH($D13, $F$12:$AS$12, 0), (COLUMN()-COLUMN($F$13)+1) &lt; (MATCH($D13, $F$12:$AS$12, 0) + $C13), $E13="9-Rosa")</formula>
    </cfRule>
    <cfRule type="expression" dxfId="4" priority="12" stopIfTrue="1">
      <formula>AND(ISNUMBER($C13), ISNUMBER($D13), (COLUMN()-COLUMN($F$13)+1) &gt;= MATCH($D13, $F$12:$AS$12, 0), (COLUMN()-COLUMN($F$13)+1) &lt; (MATCH($D13, $F$12:$AS$12, 0) + $C13), $E13="10-Marron")</formula>
    </cfRule>
  </conditionalFormatting>
  <conditionalFormatting sqref="F13:AS22">
    <cfRule type="expression" dxfId="3" priority="14">
      <formula>ISEVEN(F$7)</formula>
    </cfRule>
    <cfRule type="expression" dxfId="2" priority="13">
      <formula>ISODD(F$7)</formula>
    </cfRule>
  </conditionalFormatting>
  <conditionalFormatting sqref="F11:AS12">
    <cfRule type="expression" dxfId="1" priority="2">
      <formula>ISEVEN(F$7)</formula>
    </cfRule>
    <cfRule type="expression" dxfId="0" priority="1">
      <formula>ISODD(F$7)</formula>
    </cfRule>
  </conditionalFormatting>
  <dataValidations count="2">
    <dataValidation type="list" sqref="D10" xr:uid="{00000000-0002-0000-0000-000000000000}">
      <formula1>"1,2,3,4,5,6,7,8,9,10,11,12,13,14,15,16,17,18,19,20,21,22,23,24,25,26,27,28,29,30,31,32,33,34,35,36,37,38,39,40,41,42,43,44,45,46,47,48,49,50,51,52"</formula1>
    </dataValidation>
    <dataValidation type="list" allowBlank="1" sqref="E27:E34 E13:E25" xr:uid="{00000000-0002-0000-0000-000001000000}">
      <formula1>"1-Verde,2-AzulClaro,3-Naranja,4-Rojo,5-AzulOscuro,6-Morado,7-Amarillo,8-GrisOscuro,9-Rosa,10-Marron"</formula1>
    </dataValidation>
  </dataValidations>
  <printOptions horizontalCentered="1"/>
  <pageMargins left="0.43307086614173229" right="0.39370078740157483" top="0.51181102362204722" bottom="0.51181102362204722" header="0.31496062992125984" footer="0.31496062992125984"/>
  <pageSetup paperSize="9" scale="61" fitToHeight="0" orientation="landscape" r:id="rId1"/>
  <headerFooter>
    <oddFooter>&amp;C&amp;"Calibri Light,Negrita"&amp;8&amp;K01+021MARTECH GROUP EQUIPMENTS; S.L.&amp;"Calibri Light,Normal"
Parque Empresarial Campollano, Calle C, nº 50 - 02007 Albacete (Spaint)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PrepararCronogramaParaEnvio">
                <anchor moveWithCells="1" sizeWithCells="1">
                  <from>
                    <xdr:col>3</xdr:col>
                    <xdr:colOff>57150</xdr:colOff>
                    <xdr:row>4</xdr:row>
                    <xdr:rowOff>323850</xdr:rowOff>
                  </from>
                  <to>
                    <xdr:col>4</xdr:col>
                    <xdr:colOff>1171575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ModoEdicionCronograma">
                <anchor moveWithCells="1" sizeWithCells="1">
                  <from>
                    <xdr:col>1</xdr:col>
                    <xdr:colOff>561975</xdr:colOff>
                    <xdr:row>7</xdr:row>
                    <xdr:rowOff>19050</xdr:rowOff>
                  </from>
                  <to>
                    <xdr:col>1</xdr:col>
                    <xdr:colOff>2190750</xdr:colOff>
                    <xdr:row>8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Cronograma_Martech</vt:lpstr>
      <vt:lpstr>Cronograma_Martech!Área_de_impresión</vt:lpstr>
      <vt:lpstr>Cronograma_Martech!Títulos_a_imprimir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Ramon Panduro Sanchez</cp:lastModifiedBy>
  <cp:lastPrinted>2026-07-10T09:41:01Z</cp:lastPrinted>
  <dcterms:created xsi:type="dcterms:W3CDTF">2026-07-09T14:53:01Z</dcterms:created>
  <dcterms:modified xsi:type="dcterms:W3CDTF">2026-08-18T09:25:06Z</dcterms:modified>
</cp:coreProperties>
</file>